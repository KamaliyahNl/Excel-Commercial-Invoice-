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42F6F831-D3D8-4F76-9775-30C83D89EEA3}" xr6:coauthVersionLast="47" xr6:coauthVersionMax="47" xr10:uidLastSave="{00000000-0000-0000-0000-000000000000}"/>
  <bookViews>
    <workbookView xWindow="-120" yWindow="-120" windowWidth="20730" windowHeight="11040" activeTab="1" xr2:uid="{DAB780BA-E8F8-4869-9ED4-512CC4C12433}"/>
  </bookViews>
  <sheets>
    <sheet name="Invoice" sheetId="1" r:id="rId1"/>
    <sheet name="Custom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20" i="1"/>
  <c r="I21" i="1"/>
  <c r="I22" i="1"/>
  <c r="I19" i="1"/>
  <c r="B16" i="1"/>
  <c r="B15" i="1"/>
  <c r="B14" i="1"/>
  <c r="B13" i="1"/>
  <c r="B12" i="1"/>
  <c r="B11" i="1"/>
  <c r="C5" i="1"/>
</calcChain>
</file>

<file path=xl/sharedStrings.xml><?xml version="1.0" encoding="utf-8"?>
<sst xmlns="http://schemas.openxmlformats.org/spreadsheetml/2006/main" count="52" uniqueCount="48">
  <si>
    <t>Invoice</t>
  </si>
  <si>
    <t>Invoice No.</t>
  </si>
  <si>
    <t>Date</t>
  </si>
  <si>
    <t>Terms (Days)</t>
  </si>
  <si>
    <t>Po No.</t>
  </si>
  <si>
    <t xml:space="preserve">Invoice to: </t>
  </si>
  <si>
    <t>Description</t>
  </si>
  <si>
    <t>Qty</t>
  </si>
  <si>
    <t>Price</t>
  </si>
  <si>
    <t>VAT</t>
  </si>
  <si>
    <t>Total (exc vat)</t>
  </si>
  <si>
    <t>Customer Message</t>
  </si>
  <si>
    <t>Subtotal</t>
  </si>
  <si>
    <t>Total</t>
  </si>
  <si>
    <t>Company Details</t>
  </si>
  <si>
    <t>Payment Details</t>
  </si>
  <si>
    <t>Company No.</t>
  </si>
  <si>
    <t>VAT No.</t>
  </si>
  <si>
    <t>Tel No.</t>
  </si>
  <si>
    <t>Email</t>
  </si>
  <si>
    <t>Acct No.</t>
  </si>
  <si>
    <t>Bank</t>
  </si>
  <si>
    <t>Sort Code</t>
  </si>
  <si>
    <t>IBAN</t>
  </si>
  <si>
    <t>PT CHEMISTER</t>
  </si>
  <si>
    <t>Customer Name</t>
  </si>
  <si>
    <t>Address 1</t>
  </si>
  <si>
    <t>Address 2</t>
  </si>
  <si>
    <t>Address 3</t>
  </si>
  <si>
    <t>Address 4</t>
  </si>
  <si>
    <t>Address 5</t>
  </si>
  <si>
    <t>RST Ltd</t>
  </si>
  <si>
    <t>East Java</t>
  </si>
  <si>
    <t>Malang</t>
  </si>
  <si>
    <t>Klojen</t>
  </si>
  <si>
    <t>Gadingkasri</t>
  </si>
  <si>
    <t>Bondowoso Street</t>
  </si>
  <si>
    <t xml:space="preserve">rst@gmail.com </t>
  </si>
  <si>
    <t>ABC Ltd</t>
  </si>
  <si>
    <t>Jalak Street</t>
  </si>
  <si>
    <t>Sidayu</t>
  </si>
  <si>
    <t>Gresik</t>
  </si>
  <si>
    <t>abc@gmail.com</t>
  </si>
  <si>
    <t>Lasem</t>
  </si>
  <si>
    <t>Metals</t>
  </si>
  <si>
    <t>Natural Gums</t>
  </si>
  <si>
    <t>Resin</t>
  </si>
  <si>
    <t>Waxes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</si>
</sst>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2" formatCode="[$Rp-421]#,##0.00"/>
    <numFmt numFmtId="173" formatCode="_-[$Rp-421]* #,##0.00_-;\-[$Rp-421]* #,##0.00_-;_-[$Rp-421]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sz val="22"/>
      <color theme="1"/>
      <name val="Aharoni"/>
      <charset val="177"/>
    </font>
    <font>
      <sz val="35"/>
      <color theme="1"/>
      <name val="Aharoni"/>
      <charset val="177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theme="2" tint="-0.749961851863155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1" xfId="0" applyBorder="1"/>
    <xf numFmtId="0" fontId="0" fillId="0" borderId="3" xfId="0" applyBorder="1"/>
    <xf numFmtId="0" fontId="0" fillId="0" borderId="13" xfId="0" applyBorder="1"/>
    <xf numFmtId="0" fontId="0" fillId="0" borderId="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2" borderId="0" xfId="0" applyFill="1"/>
    <xf numFmtId="0" fontId="0" fillId="0" borderId="29" xfId="0" applyBorder="1"/>
    <xf numFmtId="0" fontId="2" fillId="0" borderId="29" xfId="0" applyFont="1" applyBorder="1"/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4" fillId="0" borderId="0" xfId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7" xfId="0" applyBorder="1"/>
    <xf numFmtId="0" fontId="0" fillId="0" borderId="4" xfId="0" applyBorder="1"/>
    <xf numFmtId="0" fontId="0" fillId="0" borderId="9" xfId="0" applyBorder="1"/>
    <xf numFmtId="14" fontId="0" fillId="0" borderId="4" xfId="0" applyNumberFormat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34" xfId="0" applyBorder="1"/>
    <xf numFmtId="0" fontId="0" fillId="0" borderId="35" xfId="0" applyBorder="1"/>
    <xf numFmtId="0" fontId="3" fillId="3" borderId="0" xfId="0" applyFont="1" applyFill="1"/>
    <xf numFmtId="0" fontId="3" fillId="3" borderId="5" xfId="0" applyFont="1" applyFill="1" applyBorder="1"/>
    <xf numFmtId="0" fontId="3" fillId="3" borderId="8" xfId="0" applyFont="1" applyFill="1" applyBorder="1"/>
    <xf numFmtId="0" fontId="3" fillId="3" borderId="10" xfId="0" applyFont="1" applyFill="1" applyBorder="1"/>
    <xf numFmtId="0" fontId="1" fillId="3" borderId="0" xfId="0" applyFont="1" applyFill="1"/>
    <xf numFmtId="0" fontId="5" fillId="0" borderId="17" xfId="0" applyFont="1" applyBorder="1"/>
    <xf numFmtId="0" fontId="6" fillId="0" borderId="1" xfId="0" applyFont="1" applyBorder="1"/>
    <xf numFmtId="0" fontId="3" fillId="3" borderId="0" xfId="0" applyFont="1" applyFill="1" applyAlignment="1">
      <alignment horizontal="center"/>
    </xf>
    <xf numFmtId="172" fontId="0" fillId="0" borderId="4" xfId="0" applyNumberFormat="1" applyBorder="1"/>
    <xf numFmtId="172" fontId="0" fillId="0" borderId="11" xfId="0" applyNumberFormat="1" applyBorder="1"/>
    <xf numFmtId="173" fontId="0" fillId="0" borderId="9" xfId="0" applyNumberFormat="1" applyBorder="1"/>
    <xf numFmtId="173" fontId="0" fillId="0" borderId="12" xfId="0" applyNumberFormat="1" applyBorder="1"/>
    <xf numFmtId="173" fontId="0" fillId="0" borderId="0" xfId="0" applyNumberFormat="1"/>
    <xf numFmtId="173" fontId="0" fillId="0" borderId="29" xfId="0" applyNumberFormat="1" applyBorder="1"/>
    <xf numFmtId="172" fontId="0" fillId="0" borderId="4" xfId="0" applyNumberFormat="1" applyBorder="1" applyAlignment="1">
      <alignment horizontal="right"/>
    </xf>
    <xf numFmtId="0" fontId="7" fillId="0" borderId="1" xfId="0" applyFont="1" applyBorder="1"/>
    <xf numFmtId="172" fontId="0" fillId="0" borderId="36" xfId="0" applyNumberFormat="1" applyBorder="1" applyAlignment="1">
      <alignment horizontal="right"/>
    </xf>
    <xf numFmtId="9" fontId="0" fillId="0" borderId="36" xfId="0" applyNumberFormat="1" applyBorder="1" applyAlignment="1">
      <alignment horizontal="right"/>
    </xf>
    <xf numFmtId="9" fontId="0" fillId="0" borderId="4" xfId="0" applyNumberFormat="1" applyBorder="1" applyAlignment="1">
      <alignment horizontal="right"/>
    </xf>
    <xf numFmtId="0" fontId="3" fillId="3" borderId="38" xfId="0" applyFont="1" applyFill="1" applyBorder="1"/>
    <xf numFmtId="173" fontId="0" fillId="0" borderId="37" xfId="0" applyNumberFormat="1" applyBorder="1" applyAlignment="1">
      <alignment horizontal="right"/>
    </xf>
    <xf numFmtId="173" fontId="0" fillId="0" borderId="9" xfId="0" applyNumberFormat="1" applyBorder="1" applyAlignment="1">
      <alignment horizontal="right"/>
    </xf>
  </cellXfs>
  <cellStyles count="2">
    <cellStyle name="Hyperlink" xfId="1" builtinId="8"/>
    <cellStyle name="Normal" xfId="0" builtinId="0"/>
  </cellStyles>
  <dxfs count="1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</dxf>
  </dxfs>
  <tableStyles count="0" defaultTableStyle="TableStyleMedium2" defaultPivotStyle="PivotStyleLight16"/>
  <colors>
    <mruColors>
      <color rgb="FFC7FD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444585</xdr:colOff>
      <xdr:row>2</xdr:row>
      <xdr:rowOff>43297</xdr:rowOff>
    </xdr:from>
    <xdr:to>
      <xdr:col>8</xdr:col>
      <xdr:colOff>718453</xdr:colOff>
      <xdr:row>11</xdr:row>
      <xdr:rowOff>76298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BE381C2-97FF-A505-8F99-2646E1DBA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23676" y="663865"/>
          <a:ext cx="1722495" cy="173595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3D79CD-39C5-48A6-A31A-7F637116BE14}" name="CUSTOMERS" displayName="CUSTOMERS" ref="A1:G3" totalsRowShown="0" headerRowDxfId="0">
  <autoFilter ref="A1:G3" xr:uid="{C73D79CD-39C5-48A6-A31A-7F637116BE14}"/>
  <tableColumns count="7">
    <tableColumn id="1" xr3:uid="{DC313AF5-AC15-4197-8C2B-F8AED5274F0B}" name="Customer Name"/>
    <tableColumn id="2" xr3:uid="{82EBFF7C-E1D7-4083-85D9-08128198C992}" name="Address 1"/>
    <tableColumn id="3" xr3:uid="{88762EF6-9C16-4AB9-A620-3D766226CBD2}" name="Address 2"/>
    <tableColumn id="4" xr3:uid="{04D5BC1C-3F7C-4EE7-A032-BC570DB4A72A}" name="Address 3"/>
    <tableColumn id="5" xr3:uid="{ACE58B82-C2F1-4E81-8896-474F9B14B89C}" name="Address 4"/>
    <tableColumn id="6" xr3:uid="{0E135031-84BD-4906-A490-8DB7E97FC9BE}" name="Address 5"/>
    <tableColumn id="7" xr3:uid="{FB578BA0-A0E7-4541-9912-709BB9263BFB}" name="Email" dataCellStyle="Hyperlink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rst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0AD98-7144-481C-A742-50217FD9D9FA}">
  <dimension ref="A1:I47"/>
  <sheetViews>
    <sheetView showGridLines="0" topLeftCell="A16" zoomScale="90" zoomScaleNormal="160" workbookViewId="0">
      <selection activeCell="L21" sqref="L21"/>
    </sheetView>
  </sheetViews>
  <sheetFormatPr defaultRowHeight="15" x14ac:dyDescent="0.25"/>
  <cols>
    <col min="1" max="1" width="1.5703125" customWidth="1"/>
    <col min="2" max="2" width="13.85546875" customWidth="1"/>
    <col min="5" max="5" width="13.7109375" customWidth="1"/>
    <col min="6" max="6" width="4.140625" customWidth="1"/>
    <col min="7" max="7" width="15" customWidth="1"/>
    <col min="8" max="8" width="7" customWidth="1"/>
    <col min="9" max="9" width="17.140625" customWidth="1"/>
    <col min="10" max="10" width="9.140625" customWidth="1"/>
    <col min="12" max="12" width="11.140625" customWidth="1"/>
  </cols>
  <sheetData>
    <row r="1" spans="1:9" ht="45.75" thickBot="1" x14ac:dyDescent="0.7">
      <c r="A1" s="49" t="s">
        <v>24</v>
      </c>
      <c r="B1" s="49"/>
      <c r="C1" s="49"/>
      <c r="D1" s="49"/>
      <c r="E1" s="49"/>
      <c r="F1" s="49"/>
      <c r="G1" s="1"/>
      <c r="H1" s="58" t="s">
        <v>0</v>
      </c>
      <c r="I1" s="58"/>
    </row>
    <row r="3" spans="1:9" x14ac:dyDescent="0.25">
      <c r="B3" s="44" t="s">
        <v>1</v>
      </c>
      <c r="C3" s="23"/>
      <c r="D3" s="24"/>
    </row>
    <row r="4" spans="1:9" x14ac:dyDescent="0.25">
      <c r="B4" s="45" t="s">
        <v>4</v>
      </c>
      <c r="C4" s="25"/>
      <c r="D4" s="26"/>
    </row>
    <row r="5" spans="1:9" x14ac:dyDescent="0.25">
      <c r="B5" s="45" t="s">
        <v>2</v>
      </c>
      <c r="C5" s="27">
        <f ca="1">TODAY()</f>
        <v>46308</v>
      </c>
      <c r="D5" s="26"/>
    </row>
    <row r="6" spans="1:9" x14ac:dyDescent="0.25">
      <c r="B6" s="46" t="s">
        <v>3</v>
      </c>
      <c r="C6" s="21">
        <v>30</v>
      </c>
      <c r="D6" s="22"/>
    </row>
    <row r="8" spans="1:9" ht="15.75" thickBot="1" x14ac:dyDescent="0.3">
      <c r="B8" s="5" t="s">
        <v>5</v>
      </c>
      <c r="C8" s="5"/>
      <c r="D8" s="5"/>
    </row>
    <row r="9" spans="1:9" x14ac:dyDescent="0.25">
      <c r="B9" s="6"/>
      <c r="C9" s="7"/>
      <c r="D9" s="8"/>
    </row>
    <row r="10" spans="1:9" x14ac:dyDescent="0.25">
      <c r="B10" s="9" t="s">
        <v>31</v>
      </c>
      <c r="D10" s="10"/>
    </row>
    <row r="11" spans="1:9" x14ac:dyDescent="0.25">
      <c r="B11" s="9" t="str">
        <f>VLOOKUP(B10, CUSTOMERS[], 2, FALSE)</f>
        <v>Bondowoso Street</v>
      </c>
      <c r="D11" s="10"/>
    </row>
    <row r="12" spans="1:9" x14ac:dyDescent="0.25">
      <c r="B12" s="9" t="str">
        <f>VLOOKUP(B10, CUSTOMERS[], 3, FALSE)</f>
        <v>Gadingkasri</v>
      </c>
      <c r="D12" s="10"/>
    </row>
    <row r="13" spans="1:9" x14ac:dyDescent="0.25">
      <c r="B13" s="9" t="str">
        <f>VLOOKUP(B10, CUSTOMERS[], 4, FALSE)</f>
        <v>Klojen</v>
      </c>
      <c r="D13" s="10"/>
    </row>
    <row r="14" spans="1:9" x14ac:dyDescent="0.25">
      <c r="B14" s="9" t="str">
        <f>VLOOKUP(B10, CUSTOMERS[], 5, FALSE)</f>
        <v>Malang</v>
      </c>
      <c r="D14" s="10"/>
    </row>
    <row r="15" spans="1:9" x14ac:dyDescent="0.25">
      <c r="B15" s="9" t="str">
        <f>VLOOKUP(B10, CUSTOMERS[], 6, FALSE)</f>
        <v>East Java</v>
      </c>
      <c r="D15" s="10"/>
    </row>
    <row r="16" spans="1:9" x14ac:dyDescent="0.25">
      <c r="B16" s="48" t="str">
        <f>VLOOKUP(B10, CUSTOMERS[], 7, FALSE)</f>
        <v xml:space="preserve">rst@gmail.com </v>
      </c>
      <c r="C16" s="12"/>
      <c r="D16" s="13"/>
    </row>
    <row r="18" spans="2:9" x14ac:dyDescent="0.25">
      <c r="B18" s="43" t="s">
        <v>6</v>
      </c>
      <c r="C18" s="43"/>
      <c r="D18" s="43"/>
      <c r="E18" s="43"/>
      <c r="F18" s="43" t="s">
        <v>7</v>
      </c>
      <c r="G18" s="50" t="s">
        <v>8</v>
      </c>
      <c r="H18" s="50" t="s">
        <v>9</v>
      </c>
      <c r="I18" s="62" t="s">
        <v>10</v>
      </c>
    </row>
    <row r="19" spans="2:9" x14ac:dyDescent="0.25">
      <c r="B19" s="31" t="s">
        <v>44</v>
      </c>
      <c r="C19" s="32"/>
      <c r="D19" s="32"/>
      <c r="E19" s="33"/>
      <c r="F19" s="3">
        <v>3</v>
      </c>
      <c r="G19" s="59">
        <v>1500000</v>
      </c>
      <c r="H19" s="60">
        <v>0.11</v>
      </c>
      <c r="I19" s="63">
        <f>F19*G19</f>
        <v>4500000</v>
      </c>
    </row>
    <row r="20" spans="2:9" x14ac:dyDescent="0.25">
      <c r="B20" s="28" t="s">
        <v>45</v>
      </c>
      <c r="C20" s="29"/>
      <c r="D20" s="29"/>
      <c r="E20" s="30"/>
      <c r="F20" s="2">
        <v>2</v>
      </c>
      <c r="G20" s="57">
        <v>750000</v>
      </c>
      <c r="H20" s="61">
        <v>0.11</v>
      </c>
      <c r="I20" s="64">
        <f t="shared" ref="I20:I22" si="0">F20*G20</f>
        <v>1500000</v>
      </c>
    </row>
    <row r="21" spans="2:9" x14ac:dyDescent="0.25">
      <c r="B21" s="28" t="s">
        <v>46</v>
      </c>
      <c r="C21" s="29"/>
      <c r="D21" s="29"/>
      <c r="E21" s="30"/>
      <c r="F21" s="2">
        <v>1</v>
      </c>
      <c r="G21" s="57">
        <v>1200000</v>
      </c>
      <c r="H21" s="61">
        <v>0.11</v>
      </c>
      <c r="I21" s="64">
        <f t="shared" si="0"/>
        <v>1200000</v>
      </c>
    </row>
    <row r="22" spans="2:9" x14ac:dyDescent="0.25">
      <c r="B22" s="28" t="s">
        <v>47</v>
      </c>
      <c r="C22" s="29"/>
      <c r="D22" s="29"/>
      <c r="E22" s="30"/>
      <c r="F22" s="2">
        <v>1</v>
      </c>
      <c r="G22" s="57">
        <v>500000</v>
      </c>
      <c r="H22" s="61">
        <v>0.11</v>
      </c>
      <c r="I22" s="64">
        <f t="shared" si="0"/>
        <v>500000</v>
      </c>
    </row>
    <row r="23" spans="2:9" x14ac:dyDescent="0.25">
      <c r="B23" s="28"/>
      <c r="C23" s="29"/>
      <c r="D23" s="29"/>
      <c r="E23" s="30"/>
      <c r="F23" s="2"/>
      <c r="G23" s="51"/>
      <c r="H23" s="2"/>
      <c r="I23" s="53"/>
    </row>
    <row r="24" spans="2:9" x14ac:dyDescent="0.25">
      <c r="B24" s="28"/>
      <c r="C24" s="29"/>
      <c r="D24" s="29"/>
      <c r="E24" s="30"/>
      <c r="F24" s="2"/>
      <c r="G24" s="51"/>
      <c r="H24" s="2"/>
      <c r="I24" s="53"/>
    </row>
    <row r="25" spans="2:9" x14ac:dyDescent="0.25">
      <c r="B25" s="28"/>
      <c r="C25" s="29"/>
      <c r="D25" s="29"/>
      <c r="E25" s="30"/>
      <c r="F25" s="2"/>
      <c r="G25" s="51"/>
      <c r="H25" s="2"/>
      <c r="I25" s="53"/>
    </row>
    <row r="26" spans="2:9" x14ac:dyDescent="0.25">
      <c r="B26" s="28"/>
      <c r="C26" s="29"/>
      <c r="D26" s="29"/>
      <c r="E26" s="30"/>
      <c r="F26" s="2"/>
      <c r="G26" s="51"/>
      <c r="H26" s="2"/>
      <c r="I26" s="53"/>
    </row>
    <row r="27" spans="2:9" x14ac:dyDescent="0.25">
      <c r="B27" s="28"/>
      <c r="C27" s="29"/>
      <c r="D27" s="29"/>
      <c r="E27" s="30"/>
      <c r="F27" s="2"/>
      <c r="G27" s="51"/>
      <c r="H27" s="2"/>
      <c r="I27" s="53"/>
    </row>
    <row r="28" spans="2:9" x14ac:dyDescent="0.25">
      <c r="B28" s="28"/>
      <c r="C28" s="29"/>
      <c r="D28" s="29"/>
      <c r="E28" s="30"/>
      <c r="F28" s="2"/>
      <c r="G28" s="51"/>
      <c r="H28" s="2"/>
      <c r="I28" s="53"/>
    </row>
    <row r="29" spans="2:9" x14ac:dyDescent="0.25">
      <c r="B29" s="28"/>
      <c r="C29" s="29"/>
      <c r="D29" s="29"/>
      <c r="E29" s="30"/>
      <c r="F29" s="2"/>
      <c r="G29" s="51"/>
      <c r="H29" s="2"/>
      <c r="I29" s="53"/>
    </row>
    <row r="30" spans="2:9" x14ac:dyDescent="0.25">
      <c r="B30" s="28"/>
      <c r="C30" s="29"/>
      <c r="D30" s="29"/>
      <c r="E30" s="30"/>
      <c r="F30" s="2"/>
      <c r="G30" s="51"/>
      <c r="H30" s="2"/>
      <c r="I30" s="53"/>
    </row>
    <row r="31" spans="2:9" x14ac:dyDescent="0.25">
      <c r="B31" s="28"/>
      <c r="C31" s="29"/>
      <c r="D31" s="29"/>
      <c r="E31" s="30"/>
      <c r="F31" s="2"/>
      <c r="G31" s="51"/>
      <c r="H31" s="2"/>
      <c r="I31" s="53"/>
    </row>
    <row r="32" spans="2:9" x14ac:dyDescent="0.25">
      <c r="B32" s="28"/>
      <c r="C32" s="29"/>
      <c r="D32" s="29"/>
      <c r="E32" s="30"/>
      <c r="F32" s="2"/>
      <c r="G32" s="51"/>
      <c r="H32" s="2"/>
      <c r="I32" s="53"/>
    </row>
    <row r="33" spans="2:9" x14ac:dyDescent="0.25">
      <c r="B33" s="28"/>
      <c r="C33" s="29"/>
      <c r="D33" s="29"/>
      <c r="E33" s="30"/>
      <c r="F33" s="2"/>
      <c r="G33" s="51"/>
      <c r="H33" s="2"/>
      <c r="I33" s="53"/>
    </row>
    <row r="34" spans="2:9" x14ac:dyDescent="0.25">
      <c r="B34" s="28"/>
      <c r="C34" s="29"/>
      <c r="D34" s="29"/>
      <c r="E34" s="30"/>
      <c r="F34" s="2"/>
      <c r="G34" s="51"/>
      <c r="H34" s="2"/>
      <c r="I34" s="53"/>
    </row>
    <row r="35" spans="2:9" x14ac:dyDescent="0.25">
      <c r="B35" s="34"/>
      <c r="C35" s="35"/>
      <c r="D35" s="35"/>
      <c r="E35" s="36"/>
      <c r="F35" s="4"/>
      <c r="G35" s="52"/>
      <c r="H35" s="4"/>
      <c r="I35" s="54"/>
    </row>
    <row r="37" spans="2:9" ht="15.75" thickBot="1" x14ac:dyDescent="0.3">
      <c r="B37" s="5" t="s">
        <v>11</v>
      </c>
      <c r="C37" s="5"/>
      <c r="D37" s="5"/>
      <c r="E37" s="5"/>
    </row>
    <row r="38" spans="2:9" x14ac:dyDescent="0.25">
      <c r="B38" s="6"/>
      <c r="C38" s="7"/>
      <c r="D38" s="7"/>
      <c r="E38" s="8"/>
      <c r="G38" s="14"/>
      <c r="H38" s="14"/>
      <c r="I38" s="14"/>
    </row>
    <row r="39" spans="2:9" x14ac:dyDescent="0.25">
      <c r="B39" s="9"/>
      <c r="E39" s="10"/>
      <c r="G39" t="s">
        <v>12</v>
      </c>
      <c r="I39" s="55">
        <f>SUM(I19:I35)</f>
        <v>7700000</v>
      </c>
    </row>
    <row r="40" spans="2:9" x14ac:dyDescent="0.25">
      <c r="B40" s="9"/>
      <c r="E40" s="10"/>
      <c r="G40" t="s">
        <v>9</v>
      </c>
      <c r="I40" s="55">
        <f>11%*I39</f>
        <v>847000</v>
      </c>
    </row>
    <row r="41" spans="2:9" ht="15.75" thickBot="1" x14ac:dyDescent="0.3">
      <c r="B41" s="11"/>
      <c r="C41" s="12"/>
      <c r="D41" s="12"/>
      <c r="E41" s="13"/>
      <c r="G41" s="16" t="s">
        <v>13</v>
      </c>
      <c r="H41" s="15"/>
      <c r="I41" s="56">
        <f>I39+I40</f>
        <v>8547000</v>
      </c>
    </row>
    <row r="42" spans="2:9" ht="15.75" thickTop="1" x14ac:dyDescent="0.25"/>
    <row r="43" spans="2:9" x14ac:dyDescent="0.25">
      <c r="B43" s="47" t="s">
        <v>14</v>
      </c>
      <c r="C43" s="47"/>
      <c r="D43" s="47"/>
      <c r="E43" s="47"/>
      <c r="F43" s="47"/>
      <c r="G43" s="47" t="s">
        <v>15</v>
      </c>
      <c r="H43" s="47"/>
      <c r="I43" s="47"/>
    </row>
    <row r="44" spans="2:9" x14ac:dyDescent="0.25">
      <c r="B44" s="17" t="s">
        <v>16</v>
      </c>
      <c r="C44" s="37"/>
      <c r="D44" s="32"/>
      <c r="E44" s="32"/>
      <c r="F44" s="33"/>
      <c r="G44" s="3" t="s">
        <v>20</v>
      </c>
      <c r="H44" s="37"/>
      <c r="I44" s="40"/>
    </row>
    <row r="45" spans="2:9" x14ac:dyDescent="0.25">
      <c r="B45" s="18" t="s">
        <v>17</v>
      </c>
      <c r="C45" s="38"/>
      <c r="D45" s="29"/>
      <c r="E45" s="29"/>
      <c r="F45" s="30"/>
      <c r="G45" s="2" t="s">
        <v>21</v>
      </c>
      <c r="H45" s="38"/>
      <c r="I45" s="41"/>
    </row>
    <row r="46" spans="2:9" x14ac:dyDescent="0.25">
      <c r="B46" s="18" t="s">
        <v>18</v>
      </c>
      <c r="C46" s="38"/>
      <c r="D46" s="29"/>
      <c r="E46" s="29"/>
      <c r="F46" s="30"/>
      <c r="G46" s="2" t="s">
        <v>22</v>
      </c>
      <c r="H46" s="38"/>
      <c r="I46" s="41"/>
    </row>
    <row r="47" spans="2:9" x14ac:dyDescent="0.25">
      <c r="B47" s="19" t="s">
        <v>19</v>
      </c>
      <c r="C47" s="39"/>
      <c r="D47" s="35"/>
      <c r="E47" s="35"/>
      <c r="F47" s="36"/>
      <c r="G47" s="4" t="s">
        <v>23</v>
      </c>
      <c r="H47" s="39"/>
      <c r="I47" s="42"/>
    </row>
  </sheetData>
  <mergeCells count="31">
    <mergeCell ref="C44:F44"/>
    <mergeCell ref="C45:F45"/>
    <mergeCell ref="C46:F46"/>
    <mergeCell ref="C47:F47"/>
    <mergeCell ref="H44:I44"/>
    <mergeCell ref="H45:I45"/>
    <mergeCell ref="H46:I46"/>
    <mergeCell ref="H47:I47"/>
    <mergeCell ref="B31:E31"/>
    <mergeCell ref="B32:E32"/>
    <mergeCell ref="B33:E33"/>
    <mergeCell ref="B34:E34"/>
    <mergeCell ref="B35:E35"/>
    <mergeCell ref="B30:E30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C6:D6"/>
    <mergeCell ref="A1:F1"/>
    <mergeCell ref="H1:I1"/>
    <mergeCell ref="C3:D3"/>
    <mergeCell ref="C4:D4"/>
    <mergeCell ref="C5:D5"/>
  </mergeCells>
  <dataValidations count="1">
    <dataValidation type="list" allowBlank="1" showInputMessage="1" showErrorMessage="1" sqref="C6:D6" xr:uid="{FAB43AEA-8AB1-484F-9BB8-FC8FD7E94CEE}">
      <formula1>"30, 60, 90"</formula1>
    </dataValidation>
  </dataValidations>
  <pageMargins left="0.59055118110236227" right="0.39370078740157483" top="0.78740157480314965" bottom="0.78740157480314965" header="0.31496062992125984" footer="0.31496062992125984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E32F782-F609-4461-A71A-450A070B803A}">
          <x14:formula1>
            <xm:f>'Customers'!$A$2:$A$3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F82D-6E8C-4544-AC85-B891CEBE288E}">
  <dimension ref="A1:G3"/>
  <sheetViews>
    <sheetView tabSelected="1" workbookViewId="0">
      <selection activeCell="C4" sqref="C4"/>
    </sheetView>
  </sheetViews>
  <sheetFormatPr defaultRowHeight="15" x14ac:dyDescent="0.25"/>
  <cols>
    <col min="1" max="1" width="17.42578125" customWidth="1"/>
    <col min="2" max="2" width="19.85546875" customWidth="1"/>
    <col min="3" max="3" width="20.140625" customWidth="1"/>
    <col min="4" max="6" width="11.7109375" customWidth="1"/>
    <col min="7" max="7" width="23.5703125" customWidth="1"/>
  </cols>
  <sheetData>
    <row r="1" spans="1:7" ht="27" customHeight="1" x14ac:dyDescent="0.25">
      <c r="A1" s="43" t="s">
        <v>25</v>
      </c>
      <c r="B1" s="43" t="s">
        <v>26</v>
      </c>
      <c r="C1" s="43" t="s">
        <v>27</v>
      </c>
      <c r="D1" s="43" t="s">
        <v>28</v>
      </c>
      <c r="E1" s="43" t="s">
        <v>29</v>
      </c>
      <c r="F1" s="43" t="s">
        <v>30</v>
      </c>
      <c r="G1" s="43" t="s">
        <v>19</v>
      </c>
    </row>
    <row r="2" spans="1:7" x14ac:dyDescent="0.25">
      <c r="A2" t="s">
        <v>31</v>
      </c>
      <c r="B2" t="s">
        <v>36</v>
      </c>
      <c r="C2" t="s">
        <v>35</v>
      </c>
      <c r="D2" t="s">
        <v>34</v>
      </c>
      <c r="E2" t="s">
        <v>33</v>
      </c>
      <c r="F2" t="s">
        <v>32</v>
      </c>
      <c r="G2" s="20" t="s">
        <v>37</v>
      </c>
    </row>
    <row r="3" spans="1:7" x14ac:dyDescent="0.25">
      <c r="A3" t="s">
        <v>38</v>
      </c>
      <c r="B3" t="s">
        <v>39</v>
      </c>
      <c r="C3" t="s">
        <v>43</v>
      </c>
      <c r="D3" t="s">
        <v>40</v>
      </c>
      <c r="E3" t="s">
        <v>41</v>
      </c>
      <c r="F3" t="s">
        <v>32</v>
      </c>
      <c r="G3" s="20" t="s">
        <v>42</v>
      </c>
    </row>
  </sheetData>
  <hyperlinks>
    <hyperlink ref="G2" r:id="rId1" xr:uid="{0C210E30-99F3-4B2D-9040-45528A8BD035}"/>
    <hyperlink ref="G3" r:id="rId2" xr:uid="{CE4A74E1-2884-4CDB-B401-09422F845B89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cp:lastPrinted>2026-10-13T13:44:53Z</cp:lastPrinted>
  <dcterms:created xsi:type="dcterms:W3CDTF">2026-10-12T15:17:48Z</dcterms:created>
  <dcterms:modified xsi:type="dcterms:W3CDTF">2026-10-13T13:45:36Z</dcterms:modified>
</cp:coreProperties>
</file>